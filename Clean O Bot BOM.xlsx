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Summary" sheetId="2" r:id="rId6"/>
  </sheets>
  <definedNames>
    <definedName hidden="1" localSheetId="0" name="_xlnm._FilterDatabase">BOM!$A$8:$J$49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Update to the rate on the day you order.</t>
      </text>
    </comment>
  </commentList>
</comments>
</file>

<file path=xl/sharedStrings.xml><?xml version="1.0" encoding="utf-8"?>
<sst xmlns="http://schemas.openxmlformats.org/spreadsheetml/2006/main" count="248" uniqueCount="163">
  <si>
    <t>ProjectCleanbot — Bill of Materials</t>
  </si>
  <si>
    <t>Spend by Category</t>
  </si>
  <si>
    <t>Hack Club Forge · A-tier · Prices in MYR · Last updated 9 Oct 2026</t>
  </si>
  <si>
    <t>Category</t>
  </si>
  <si>
    <t>Items</t>
  </si>
  <si>
    <t>Subtotal (MYR)</t>
  </si>
  <si>
    <t>% of total</t>
  </si>
  <si>
    <t>Microcontroller</t>
  </si>
  <si>
    <t>USD → MYR rate</t>
  </si>
  <si>
    <t>Total</t>
  </si>
  <si>
    <t>Used of cap</t>
  </si>
  <si>
    <t>Forge Tier 2</t>
  </si>
  <si>
    <t>Remaining</t>
  </si>
  <si>
    <t>Motors &amp; Drivers</t>
  </si>
  <si>
    <t>Lines to confirm</t>
  </si>
  <si>
    <t>Blue = typed input · Yellow = still needs a real price, link or fix (see 'To do' column) · Black = formula</t>
  </si>
  <si>
    <t>Product Name</t>
  </si>
  <si>
    <t>Source</t>
  </si>
  <si>
    <t>Link</t>
  </si>
  <si>
    <t>Qty</t>
  </si>
  <si>
    <t>Unit (USD)</t>
  </si>
  <si>
    <t>Unit (MYR)</t>
  </si>
  <si>
    <t>Notes</t>
  </si>
  <si>
    <t>To do</t>
  </si>
  <si>
    <t>Sensors &amp; Input</t>
  </si>
  <si>
    <t>Power</t>
  </si>
  <si>
    <t>ESP32-S3 DevKitC (N16R8)</t>
  </si>
  <si>
    <t>Mechanical</t>
  </si>
  <si>
    <t>Shopee</t>
  </si>
  <si>
    <t>https://shopee.com.my/DIYMORE-ESP32-S3-DevKitC-1-N16R8-Development-Board-WiFi-BLE-5.0-Module-with-16MB-Flash-8MB-PSRAM-Dual-Core-240MHz-for-AIoT-Smart-Home-i.145270449.45661739634?extraParams=%7B%22display_model_id%22%3A386017578852%2C%22model_selection_l</t>
  </si>
  <si>
    <t>Chassis</t>
  </si>
  <si>
    <t>Wiring &amp; Misc</t>
  </si>
  <si>
    <t>Tools</t>
  </si>
  <si>
    <t>DFRobot Micro Metal Gearmotor 210:1 w/ Encoder (cable included)</t>
  </si>
  <si>
    <t>DFRobot</t>
  </si>
  <si>
    <t>https://www.dfrobot.com/product-1435.html</t>
  </si>
  <si>
    <t>Shipping</t>
  </si>
  <si>
    <t>TOTAL</t>
  </si>
  <si>
    <t>Drive wheels. Check pinout + 3.3V encoder support on the DFRobot wiki.</t>
  </si>
  <si>
    <t>3V 1350RPM DC Micro Metal Gearmotor (MO-3V-1350)</t>
  </si>
  <si>
    <t>Cytron</t>
  </si>
  <si>
    <t>https://my.cytron.io/p-3v-1350rpm-dc-micro-metal-gearmotor</t>
  </si>
  <si>
    <t>Forge A-tier cap</t>
  </si>
  <si>
    <t>Brush motor. Run at 25–30% PWM with a hard duty cap in code.</t>
  </si>
  <si>
    <t>Micro Metal Gearmotor Bracket Pair</t>
  </si>
  <si>
    <t>https://my.cytron.io/p-spg10-n20-dc-geared-motor-bracket-kit</t>
  </si>
  <si>
    <t>Remaining under cap</t>
  </si>
  <si>
    <t>Mounts the drive motors.</t>
  </si>
  <si>
    <t>L298N Motor Driver</t>
  </si>
  <si>
    <t>https://my.cytron.io/p-2amp-7v-30v-l298n-motor-driver-stepper-driver-2-channels</t>
  </si>
  <si>
    <t>Drives both wheel motors.</t>
  </si>
  <si>
    <t>IRF520 MOSFET Driver Module</t>
  </si>
  <si>
    <t>https://shopee.com.my/MOSFET-Button-IRF520-MOSFET-Driver-Module-for-Raspberry-pi-Arduino-ElectricA--i.96013540.5653412121?extraParams=%7B%22display_model_id%22%3A21974599353%2C%22model_selection_logic%22%3A3%7D</t>
  </si>
  <si>
    <t>One for blower, one for brush.</t>
  </si>
  <si>
    <t>Delta BFB1012EH Blower Fan (12V)</t>
  </si>
  <si>
    <t>AliExpress</t>
  </si>
  <si>
    <t>https://www.aliexpress.com/item/32264652512.html</t>
  </si>
  <si>
    <t>Motor for vacuuming</t>
  </si>
  <si>
    <t>Sharp GP2D120 IR Distance Sensor (4–30cm)</t>
  </si>
  <si>
    <t>https://my.cytron.io/p-sharp-analog-distance-sensor-4-30cm</t>
  </si>
  <si>
    <t>Sensor for bot to slow down when getting close to walls</t>
  </si>
  <si>
    <t>KW11 Roller Lever Microswitch (Type D)</t>
  </si>
  <si>
    <t>Shopee (Techmakers)</t>
  </si>
  <si>
    <t>https://shopee.com.my/3-Pin-KW11-5A-Small-Touch-Long-Straight-Micro-Switch-Travel-Miniature-KW12-KW-125VAC-250VAC-Contact-Limit-Lever-Switch-i.55645224.1844550241?extraParams=%7B%22display_model_id%22%3A68229909526%2C%22model_selection_logic%22%3A3%7D</t>
  </si>
  <si>
    <t>Bump switches.</t>
  </si>
  <si>
    <t>On/Off Switch (SPST)</t>
  </si>
  <si>
    <t>https://shopee.com.my/search?keyword=on%20off%20switch</t>
  </si>
  <si>
    <t>Main power switch.</t>
  </si>
  <si>
    <t>Link is a search page — swap for the exact product link.</t>
  </si>
  <si>
    <t>12V 9800mAh Polymer Li-ion Battery Pack (with BMS)</t>
  </si>
  <si>
    <t>https://shopee.com.my/12v-DC-Rechargeable-Battery-Polymer-Lithium-Ion-Battery-with-Charger-i.39262325.2153389061?extraParams=%7B%22display_model_id%22%3A3998849337%2C%22model_selection_logic%22%3A3%7D&amp;rModelId=3998849337&amp;vItemId=57165012843&amp;vModelId=33128</t>
  </si>
  <si>
    <t>Main battery supply</t>
  </si>
  <si>
    <t>DC5521 Female-to-Bare-Wire Cable</t>
  </si>
  <si>
    <t>https://shopee.com.my/12v-Female-Cable-Pure-Copper-Core-Plug-Red-Black-Power-Cord-Monitoring-Power-Male-Female-Connector-DC5521-Power-Cord-i.689628071.10587867794?extraParams=%7B%22display_model_id%22%3A86968037147%2C%22model_selection_logic%22%3A3%7D</t>
  </si>
  <si>
    <t>Mates with the battery's male output plug.</t>
  </si>
  <si>
    <t>LM2596 Buck Converter (5V fixed)</t>
  </si>
  <si>
    <t>https://shopee.com.my/DC-DC-buck-converter-(LM2596-step-down-fixed-output-DC-voltage)-i.35780982.55303850475?extraParams=%7B%22display_model_id%22%3A302294481058%2C%22model_selection_logic%22%3A3%7D</t>
  </si>
  <si>
    <t>12V → 5V for ESP32 + Sharp sensors.</t>
  </si>
  <si>
    <t>Inline Fuse Holder (mini blade)</t>
  </si>
  <si>
    <t>https://shopee.com.my/Fuse-Holder-Black-12V-Mini-Blade-Water-Proof-Fuse-Holder-Mini-Waterproof-i.47907461.6050516278?extraParams=%7B%22display_model_id%22%3A446198273957%2C%22model_selection_logic%22%3A3%7D</t>
  </si>
  <si>
    <t>On battery + wire, protects against shorts.</t>
  </si>
  <si>
    <t>5A Mini Blade Fuse</t>
  </si>
  <si>
    <t>https://shopee.com.my/1-5-10-PIECE-PRICE!!!ORIGINAL-PERODUA-JAPAN-PEC-MINI-PLUG-IN-BLADE-FUSE-FOR-PROTON-TOYOTA-HONDA-NISSAN-HYUNDAI-ETC-i.112477153.4554780740?extraParams=%7B%22display_model_id%22%3A113807436703%2C%22model_selection_logic%22%3A2%7D</t>
  </si>
  <si>
    <t>Goes in the fuse holder.</t>
  </si>
  <si>
    <t>Mini Wheel 42×19mm, 3mm D-shaft (pair)</t>
  </si>
  <si>
    <t>https://my.cytron.io/p-mini-wheel-42x19-mm-1-pair</t>
  </si>
  <si>
    <t>Sold as a pair — qty 1 = 2 wheels.</t>
  </si>
  <si>
    <t>W420 Steel Ball Castor (WL-BTU-W420)</t>
  </si>
  <si>
    <t>https://my.cytron.io/p-w420-steel-ball-universal-wheel-castor</t>
  </si>
  <si>
    <t>20mm tall — add 1mm spacer to match 42mm wheels.</t>
  </si>
  <si>
    <t>Flexible Shaft Coupler 3mm–6mm</t>
  </si>
  <si>
    <t>https://shopee.com.my/Aluminium-CNC-Motor-Jaw-Shaft-Coupler-Flexible-Coupling-Motor-Shaft-Coupling-3mm-4mm-5mm-6mm-8mm-10mm-i.33091591.948158578?extraParams=%7B%22display_model_id%22%3A30877687460%2C%22model_selection_logic%22%3A3%7D</t>
  </si>
  <si>
    <t>Brush motor → roller connector</t>
  </si>
  <si>
    <t>Ball Bearing (6mm bore)</t>
  </si>
  <si>
    <t>https://shopee.com.my/Ball-Bearing-for-1mm-1.5mm-2mm-3mm-4mm-5mm-6mm-8mm-10mm-Metal-Shaft-RBT-Project-Toys-Model-i.114449913.18932166513?extraParams=%7B%22display_model_id%22%3A88108465059%2C%22model_selection_logic%22%3A3%7D</t>
  </si>
  <si>
    <t>Free end of the roller.</t>
  </si>
  <si>
    <t>M3×8mm Bolts</t>
  </si>
  <si>
    <t>https://shopee.com.my/M3-M4-M5-M6-Screw-Pan-Head-Phillips-304-Stainless-Steel-GB818-Skru-i.243397959.20112160470?extraParams=%7B%22display_model_id%22%3A210689829549%2C%22model_selection_logic%22%3A2%7D</t>
  </si>
  <si>
    <t>Screw to go through chassis</t>
  </si>
  <si>
    <t>M3×16mm Bolts</t>
  </si>
  <si>
    <t>Screw for parts to chassis</t>
  </si>
  <si>
    <t>M3 Heat-Set Brass Inserts (OD 4.5mm)</t>
  </si>
  <si>
    <t>https://shopee.com.my/M1.4-M2-M2.5-M3-M4-Embedded-Nut-Threaded-Insert-RoHS-Standard-Brass-3D-Printing-i.243397959.18176839221?extraParams=%7B%22display_model_id%22%3A98661196800%2C%22model_selection_logic%22%3A3%7D</t>
  </si>
  <si>
    <t>Brass inserts</t>
  </si>
  <si>
    <t>Listing is priced per piece — set qty to the number of inserts × unit price.</t>
  </si>
  <si>
    <t>M3 Nuts</t>
  </si>
  <si>
    <t>https://shopee.com.my/Nylon-Lock-Nut-304-Stainless-Steel-Hexagon-M2-M2.5-M3-M4-M5-M6-M8-M10-M12-Hex-Lock-Nut-DIN985-i.243397959.4757954553?extraParams=%7B%22display_model_id%22%3A31434481836%2C%22model_selection_logic%22%3A2%7D</t>
  </si>
  <si>
    <t>For the screws to prevent scraping on chassis</t>
  </si>
  <si>
    <t>Compression Springs 0.4×5×10mm (pack of 10)</t>
  </si>
  <si>
    <t>https://shopee.com.my/-LY-XHYH-304-Stainless-Steel-Compression-Spring-(wire-Diameter-0.4mm-*-Outer-Diameter-3mm-12mm-*-Length-5mm-50mm)-Shock-Absorber-Spring-Precision-Pressure-Spring-i.1525505012.28934394190?extraParams=%7B%22display_model_id%22%3A138313</t>
  </si>
  <si>
    <t>Springs for bumper</t>
  </si>
  <si>
    <t>Washable Vacuum Cloth Bag (cut to size)</t>
  </si>
  <si>
    <t>https://shopee.com.my/Big-Orange-Washable-Universal-Vacuum-Cleaner-Cloth-Dust-Bag-Vacuum-Cleaner-Bag-Reusable-i.216420158.5462054938?extraParams=%7B%22display_model_id%22%3A71759163225%2C%22model_selection_logic%22%3A3%7D</t>
  </si>
  <si>
    <t>Cut into the dust-bin filter.</t>
  </si>
  <si>
    <t>3D Printing — PETG (chassis, roller core, motor box, bearing box) + TPU 95A (brush sleeve)</t>
  </si>
  <si>
    <t>TBC</t>
  </si>
  <si>
    <t>TBC — get a quote, then put the price here.</t>
  </si>
  <si>
    <t>Get a quote, then enter the price.</t>
  </si>
  <si>
    <t>Breadboard</t>
  </si>
  <si>
    <t>https://shopee.com.my/MB102-Breadboard-170-400-830-Holes-Breadboard-Donut-Board-Arduino-Prototype-Multi-Color-i.1165814930.25477002583?extraParams=%7B%22display_model_id%22%3A208072027950%2C%22model_selection_logic%22%3A3%7D</t>
  </si>
  <si>
    <t>For testing before soldering.</t>
  </si>
  <si>
    <t>Red/Black Twin Cable 16AWG, 6.2A (per metre)</t>
  </si>
  <si>
    <t>https://shopee.com.my/1-Meter-Red-Black-Twin-Cable-22AWG-20AWG-18AWG-17AWG-16AWG-14AWG-Electric-Electrical-Wire-Power-Cable-Speaker-Wire-i.268822975.28107542485?extraParams=%7B%22display_model_id%22%3A148740477335%2C%22model_selection_logic%22%3A3%7D</t>
  </si>
  <si>
    <t>Wire for battery to parts</t>
  </si>
  <si>
    <t>Red/Black Twin Cable 22AWG, 1.25A (per metre)</t>
  </si>
  <si>
    <t>Wire for microcontroller to part</t>
  </si>
  <si>
    <t>Perfboard</t>
  </si>
  <si>
    <t>https://shopee.com.my/Double-Sided-Donut-Board-DIY-Robotics-Prototype-Board-PCB-Circuit-Board-i.1165814930.27521237000?extraParams=%7B%22display_model_id%22%3A252298009081%2C%22model_selection_logic%22%3A3%7D</t>
  </si>
  <si>
    <t>Board for electronics</t>
  </si>
  <si>
    <t>Dupont Jumper Wire Kit</t>
  </si>
  <si>
    <t>https://shopee.com.my/40pcs-Dupont-Wire-10cm-20cm-30cm-for-Breadboard-DIY-Experiment-Jumper-Wire-Breadboard-wire-i.1165814930.24676987244?extraParams=%7B%22display_model_id%22%3A187468506199%2C%22model_selection_logic%22%3A3%7D</t>
  </si>
  <si>
    <t>Wire for board to microelectronic</t>
  </si>
  <si>
    <t>Plan was 2 strips (M-F + M-M, 20cm).</t>
  </si>
  <si>
    <t>100Ω Resistor</t>
  </si>
  <si>
    <t>https://shopee.com.my/10-pcs-of-Resistor-1-0.25W-1-10-100-1K-10K-100K-1M-ohm-1-4-0.25-Watt-Metal-Film-Resistance-Perintang-i.55645224.4011502286?extraParams=%7B%22display_model_id%22%3A11749661321%2C%22model_selection_logic%22%3A3%7D</t>
  </si>
  <si>
    <t>For the status LED.</t>
  </si>
  <si>
    <t>Green LED 5mm</t>
  </si>
  <si>
    <t>https://shopee.com.my/10-pcs-of-5mm-LED-Red-Yellow-Green-Blue-Orange-Light-Emitting-Diode-Extra-Long-Led-Normal-TechMakers-i.55645224.9676906423?extraParams=%7B%22display_model_id%22%3A66372892367%2C%22model_selection_logic%22%3A3%7D</t>
  </si>
  <si>
    <t>Led</t>
  </si>
  <si>
    <t>TO-220 Heatsink</t>
  </si>
  <si>
    <t>https://shopee.com.my/Heatsink-40x40x11-mm-Aluminium-Clear-Black-Gold-Anodized-i.6674515.812567757?extraParams=%7B%22display_model_id%22%3A321007863941%2C%22model_selection_logic%22%3A3%7D</t>
  </si>
  <si>
    <t>Est. — one per IRF520 to prevent overheat</t>
  </si>
  <si>
    <t>Estimate — confirm price.</t>
  </si>
  <si>
    <t>Thermal Heatsink Glue</t>
  </si>
  <si>
    <t>Glue for heatsink</t>
  </si>
  <si>
    <t>Link is a copy of the heatsink link — needs its own product link.</t>
  </si>
  <si>
    <t>Female Header Strips (1×40)</t>
  </si>
  <si>
    <t>https://shopee.com.my/Straight-Pin-Header-(Female)-i.23949362.861366721?extraParams=%7B%22display_model_id%22%3A3671027746%2C%22model_selection_logic%22%3A3%7D</t>
  </si>
  <si>
    <t>For easy replace of microcontroller</t>
  </si>
  <si>
    <t>Screw Terminal Blocks</t>
  </si>
  <si>
    <t>https://shopee.com.my/-5mm-5.08mm-Pitch-2P-3P-4P-PCB-Panel-Mount-Screw-Terminal-Block-Connector-Pin-KF-KF301-WJ306-i.155961970.26250640462?extraParams=%7B%22display_model_id%22%3A222818414166%2C%22model_selection_logic%22%3A3%7D</t>
  </si>
  <si>
    <t>For multiple wires</t>
  </si>
  <si>
    <t>Heat-Shrink Assortment</t>
  </si>
  <si>
    <t>https://shopee.com.my/Heat-Shrink-Tube-Shrinking-Assorted-Polyolefin-Insulation-Sleeving-Wire-Cable-Sleeve-Wrap-i.1544097918.42855274889?extraParams=%7B%22display_model_id%22%3A265446544760%2C%22model_selection_logic%22%3A3%7D&amp;rModelId=265446544760&amp;vItemI</t>
  </si>
  <si>
    <t>For protecting wire</t>
  </si>
  <si>
    <t>Solder Wire</t>
  </si>
  <si>
    <t>https://shopee.com.my/63-37-Tin-Lead-Solder-Wire-with-Rosin-Core-Available-in-0.5mm-to-1.5mm-Thickness-and-50g-to-100g-Sizes-i.1602560.7693354868?extraParams=%7B%22display_model_id%22%3A200304825170%2C%22model_selection_logic%22%3A3%7D&amp;rModelId=2003048251</t>
  </si>
  <si>
    <t>Solder wire for soldering</t>
  </si>
  <si>
    <t>Soldering Kit (iron, multimeter, pump, strippers, screwdrivers)</t>
  </si>
  <si>
    <t>https://shopee.com.my/Portable-220V-60W-Electric-Soldering-Iron-Set-Adjustable-Temperature-200-450%E2%84%83-Electronic-DIY-Kits-i.1570699105.40227025340?extraParams=%7B%22display_model_id%22%3A282229759242%2C%22model_selection_logic%22%3A3%7D&amp;rModelId=282229759242&amp;vItemId=49761839273&amp;vModelId=446026285498&amp;vShopId=1432004273</t>
  </si>
  <si>
    <t>Essential tools for assembly (Forge allows essential tools).</t>
  </si>
  <si>
    <t>DFRobot International Shipping</t>
  </si>
  <si>
    <t>Paid at DFRobot checkout (no separate link).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</si>
</sst>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M&quot;#,##0.00"/>
    <numFmt numFmtId="165" formatCode="0.0%"/>
    <numFmt numFmtId="166" formatCode="\$#,##0.00"/>
  </numFmts>
  <fonts count="21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4.0"/>
      <color rgb="FFFFFFFF"/>
      <name val="Arial"/>
    </font>
    <font>
      <b/>
      <sz val="11.0"/>
      <color rgb="FFFFFFFF"/>
      <name val="Arial"/>
    </font>
    <font>
      <i/>
      <sz val="11.0"/>
      <color rgb="FFFFFFFF"/>
      <name val="Arial"/>
    </font>
    <font>
      <sz val="11.0"/>
      <color theme="1"/>
      <name val="Arial"/>
    </font>
    <font>
      <b/>
      <sz val="11.0"/>
      <color rgb="FF404040"/>
      <name val="Arial"/>
    </font>
    <font>
      <sz val="11.0"/>
      <color rgb="FF0000FF"/>
      <name val="Arial"/>
    </font>
    <font>
      <b/>
      <sz val="12.0"/>
      <color rgb="FF1F3A5F"/>
      <name val="Arial"/>
    </font>
    <font>
      <i/>
      <sz val="9.0"/>
      <color rgb="FF7F7F7F"/>
      <name val="Arial"/>
    </font>
    <font>
      <b/>
      <sz val="10.0"/>
      <color rgb="FF1F1F1F"/>
      <name val="Arial"/>
    </font>
    <font>
      <sz val="10.0"/>
      <color theme="1"/>
      <name val="Arial"/>
    </font>
    <font>
      <u/>
      <sz val="10.0"/>
      <color rgb="FF1155CC"/>
      <name val="Arial"/>
    </font>
    <font>
      <sz val="10.0"/>
      <color rgb="FF0000FF"/>
      <name val="Arial"/>
    </font>
    <font>
      <u/>
      <sz val="10.0"/>
      <color rgb="FF1155CC"/>
      <name val="Arial"/>
    </font>
    <font>
      <sz val="10.0"/>
      <color rgb="FF8C8C8C"/>
      <name val="Arial"/>
    </font>
    <font>
      <b/>
      <sz val="11.0"/>
      <color theme="1"/>
      <name val="Arial"/>
    </font>
    <font>
      <u/>
      <sz val="10.0"/>
      <color rgb="FF1155CC"/>
      <name val="Arial"/>
    </font>
    <font>
      <i/>
      <sz val="9.0"/>
      <color rgb="FF9C5700"/>
      <name val="Arial"/>
    </font>
    <font>
      <b/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2E86AB"/>
        <bgColor rgb="FF2E86AB"/>
      </patternFill>
    </fill>
    <fill>
      <patternFill patternType="solid">
        <fgColor rgb="FFF3F7FB"/>
        <bgColor rgb="FFF3F7FB"/>
      </patternFill>
    </fill>
    <fill>
      <patternFill patternType="solid">
        <fgColor rgb="FFFFFFFF"/>
        <bgColor rgb="FFFFFFFF"/>
      </patternFill>
    </fill>
    <fill>
      <patternFill patternType="solid">
        <fgColor rgb="FFFFF2B3"/>
        <bgColor rgb="FFFFF2B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Border="1" applyFont="1"/>
    <xf borderId="1" fillId="2" fontId="3" numFmtId="0" xfId="0" applyAlignment="1" applyBorder="1" applyFill="1" applyFont="1">
      <alignment shrinkToFit="0" vertical="center" wrapText="0"/>
    </xf>
    <xf borderId="3" fillId="0" fontId="2" numFmtId="0" xfId="0" applyBorder="1" applyFont="1"/>
    <xf borderId="4" fillId="3" fontId="4" numFmtId="0" xfId="0" applyAlignment="1" applyBorder="1" applyFill="1" applyFont="1">
      <alignment horizontal="center" shrinkToFit="0" vertical="bottom" wrapText="0"/>
    </xf>
    <xf borderId="1" fillId="3" fontId="5" numFmtId="0" xfId="0" applyAlignment="1" applyBorder="1" applyFill="1" applyFont="1">
      <alignment shrinkToFit="0" vertical="center" wrapText="0"/>
    </xf>
    <xf borderId="4" fillId="4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4" fillId="0" fontId="8" numFmtId="2" xfId="0" applyAlignment="1" applyBorder="1" applyFont="1" applyNumberFormat="1">
      <alignment horizontal="right" shrinkToFit="0" vertical="bottom" wrapText="0"/>
    </xf>
    <xf borderId="0" fillId="0" fontId="7" numFmtId="0" xfId="0" applyAlignment="1" applyFont="1">
      <alignment horizontal="right" shrinkToFit="0" vertical="bottom" wrapText="0"/>
    </xf>
    <xf borderId="4" fillId="0" fontId="9" numFmtId="164" xfId="0" applyAlignment="1" applyBorder="1" applyFont="1" applyNumberFormat="1">
      <alignment horizontal="right" shrinkToFit="0" vertical="bottom" wrapText="0"/>
    </xf>
    <xf borderId="4" fillId="4" fontId="6" numFmtId="164" xfId="0" applyAlignment="1" applyBorder="1" applyFill="1" applyFont="1" applyNumberFormat="1">
      <alignment shrinkToFit="0" vertical="bottom" wrapText="0"/>
    </xf>
    <xf borderId="4" fillId="0" fontId="9" numFmtId="9" xfId="0" applyAlignment="1" applyBorder="1" applyFont="1" applyNumberFormat="1">
      <alignment horizontal="right" shrinkToFit="0" vertical="bottom" wrapText="0"/>
    </xf>
    <xf borderId="0" fillId="0" fontId="7" numFmtId="0" xfId="0" applyAlignment="1" applyFont="1">
      <alignment readingOrder="0" shrinkToFit="0" vertical="bottom" wrapText="0"/>
    </xf>
    <xf borderId="4" fillId="0" fontId="8" numFmtId="164" xfId="0" applyAlignment="1" applyBorder="1" applyFont="1" applyNumberFormat="1">
      <alignment horizontal="right" shrinkToFit="0" vertical="bottom" wrapText="0"/>
    </xf>
    <xf borderId="4" fillId="4" fontId="6" numFmtId="165" xfId="0" applyAlignment="1" applyBorder="1" applyFill="1" applyFont="1" applyNumberFormat="1">
      <alignment shrinkToFit="0" vertical="bottom" wrapText="0"/>
    </xf>
    <xf borderId="4" fillId="5" fontId="6" numFmtId="0" xfId="0" applyAlignment="1" applyBorder="1" applyFill="1" applyFont="1">
      <alignment shrinkToFit="0" vertical="bottom" wrapText="0"/>
    </xf>
    <xf borderId="4" fillId="0" fontId="9" numFmtId="1" xfId="0" applyAlignment="1" applyBorder="1" applyFont="1" applyNumberFormat="1">
      <alignment horizontal="right" shrinkToFit="0" vertical="bottom" wrapText="0"/>
    </xf>
    <xf borderId="0" fillId="0" fontId="10" numFmtId="0" xfId="0" applyAlignment="1" applyFont="1">
      <alignment shrinkToFit="0" vertical="bottom" wrapText="0"/>
    </xf>
    <xf borderId="4" fillId="2" fontId="4" numFmtId="0" xfId="0" applyAlignment="1" applyBorder="1" applyFill="1" applyFont="1">
      <alignment horizontal="center" shrinkToFit="0" vertical="center" wrapText="1"/>
    </xf>
    <xf borderId="4" fillId="5" fontId="6" numFmtId="164" xfId="0" applyAlignment="1" applyBorder="1" applyFill="1" applyFont="1" applyNumberFormat="1">
      <alignment shrinkToFit="0" vertical="bottom" wrapText="0"/>
    </xf>
    <xf borderId="4" fillId="5" fontId="6" numFmtId="165" xfId="0" applyAlignment="1" applyBorder="1" applyFill="1" applyFont="1" applyNumberFormat="1">
      <alignment shrinkToFit="0" vertical="bottom" wrapText="0"/>
    </xf>
    <xf borderId="4" fillId="4" fontId="11" numFmtId="0" xfId="0" applyAlignment="1" applyBorder="1" applyFill="1" applyFont="1">
      <alignment shrinkToFit="0" vertical="center" wrapText="0"/>
    </xf>
    <xf borderId="4" fillId="4" fontId="12" numFmtId="0" xfId="0" applyAlignment="1" applyBorder="1" applyFill="1" applyFont="1">
      <alignment shrinkToFit="0" vertical="center" wrapText="1"/>
    </xf>
    <xf borderId="4" fillId="4" fontId="12" numFmtId="0" xfId="0" applyAlignment="1" applyBorder="1" applyFill="1" applyFont="1">
      <alignment shrinkToFit="0" vertical="center" wrapText="0"/>
    </xf>
    <xf borderId="4" fillId="4" fontId="13" numFmtId="0" xfId="0" applyAlignment="1" applyBorder="1" applyFill="1" applyFont="1">
      <alignment shrinkToFit="0" vertical="center" wrapText="0"/>
    </xf>
    <xf borderId="4" fillId="4" fontId="14" numFmtId="0" xfId="0" applyAlignment="1" applyBorder="1" applyFill="1" applyFont="1">
      <alignment horizontal="center" shrinkToFit="0" vertical="center" wrapText="0"/>
    </xf>
    <xf borderId="4" fillId="4" fontId="14" numFmtId="164" xfId="0" applyAlignment="1" applyBorder="1" applyFill="1" applyFont="1" applyNumberFormat="1">
      <alignment shrinkToFit="0" vertical="center" wrapText="0"/>
    </xf>
    <xf borderId="4" fillId="4" fontId="12" numFmtId="164" xfId="0" applyAlignment="1" applyBorder="1" applyFill="1" applyFont="1" applyNumberFormat="1">
      <alignment shrinkToFit="0" vertical="center" wrapText="0"/>
    </xf>
    <xf borderId="4" fillId="5" fontId="11" numFmtId="0" xfId="0" applyAlignment="1" applyBorder="1" applyFill="1" applyFont="1">
      <alignment shrinkToFit="0" vertical="center" wrapText="0"/>
    </xf>
    <xf borderId="4" fillId="5" fontId="12" numFmtId="0" xfId="0" applyAlignment="1" applyBorder="1" applyFill="1" applyFont="1">
      <alignment shrinkToFit="0" vertical="center" wrapText="1"/>
    </xf>
    <xf borderId="4" fillId="5" fontId="12" numFmtId="0" xfId="0" applyAlignment="1" applyBorder="1" applyFill="1" applyFont="1">
      <alignment shrinkToFit="0" vertical="center" wrapText="0"/>
    </xf>
    <xf borderId="4" fillId="5" fontId="15" numFmtId="0" xfId="0" applyAlignment="1" applyBorder="1" applyFill="1" applyFont="1">
      <alignment shrinkToFit="0" vertical="center" wrapText="0"/>
    </xf>
    <xf borderId="4" fillId="5" fontId="14" numFmtId="0" xfId="0" applyAlignment="1" applyBorder="1" applyFill="1" applyFont="1">
      <alignment horizontal="center" shrinkToFit="0" vertical="center" wrapText="0"/>
    </xf>
    <xf borderId="4" fillId="5" fontId="14" numFmtId="166" xfId="0" applyAlignment="1" applyBorder="1" applyFill="1" applyFont="1" applyNumberFormat="1">
      <alignment shrinkToFit="0" vertical="center" wrapText="0"/>
    </xf>
    <xf borderId="4" fillId="5" fontId="12" numFmtId="164" xfId="0" applyAlignment="1" applyBorder="1" applyFill="1" applyFont="1" applyNumberFormat="1">
      <alignment shrinkToFit="0" vertical="center" wrapText="0"/>
    </xf>
    <xf borderId="4" fillId="2" fontId="4" numFmtId="0" xfId="0" applyAlignment="1" applyBorder="1" applyFill="1" applyFont="1">
      <alignment shrinkToFit="0" vertical="bottom" wrapText="0"/>
    </xf>
    <xf borderId="4" fillId="5" fontId="16" numFmtId="0" xfId="0" applyAlignment="1" applyBorder="1" applyFill="1" applyFont="1">
      <alignment shrinkToFit="0" vertical="center" wrapText="0"/>
    </xf>
    <xf borderId="4" fillId="2" fontId="4" numFmtId="164" xfId="0" applyAlignment="1" applyBorder="1" applyFill="1" applyFont="1" applyNumberFormat="1">
      <alignment shrinkToFit="0" vertical="bottom" wrapText="0"/>
    </xf>
    <xf borderId="4" fillId="2" fontId="4" numFmtId="165" xfId="0" applyAlignment="1" applyBorder="1" applyFill="1" applyFont="1" applyNumberFormat="1">
      <alignment shrinkToFit="0" vertical="bottom" wrapText="0"/>
    </xf>
    <xf borderId="4" fillId="5" fontId="14" numFmtId="164" xfId="0" applyAlignment="1" applyBorder="1" applyFill="1" applyFont="1" applyNumberFormat="1">
      <alignment shrinkToFit="0" vertical="center" wrapText="0"/>
    </xf>
    <xf borderId="0" fillId="0" fontId="17" numFmtId="0" xfId="0" applyAlignment="1" applyFont="1">
      <alignment shrinkToFit="0" vertical="bottom" wrapText="0"/>
    </xf>
    <xf borderId="4" fillId="0" fontId="17" numFmtId="164" xfId="0" applyAlignment="1" applyBorder="1" applyFont="1" applyNumberFormat="1">
      <alignment shrinkToFit="0" vertical="bottom" wrapText="0"/>
    </xf>
    <xf borderId="4" fillId="4" fontId="16" numFmtId="0" xfId="0" applyAlignment="1" applyBorder="1" applyFill="1" applyFont="1">
      <alignment shrinkToFit="0" vertical="center" wrapText="0"/>
    </xf>
    <xf borderId="4" fillId="6" fontId="18" numFmtId="0" xfId="0" applyAlignment="1" applyBorder="1" applyFill="1" applyFont="1">
      <alignment shrinkToFit="0" vertical="center" wrapText="0"/>
    </xf>
    <xf borderId="4" fillId="4" fontId="19" numFmtId="0" xfId="0" applyAlignment="1" applyBorder="1" applyFill="1" applyFont="1">
      <alignment shrinkToFit="0" vertical="center" wrapText="1"/>
    </xf>
    <xf borderId="4" fillId="6" fontId="14" numFmtId="164" xfId="0" applyAlignment="1" applyBorder="1" applyFill="1" applyFont="1" applyNumberFormat="1">
      <alignment shrinkToFit="0" vertical="center" wrapText="0"/>
    </xf>
    <xf borderId="4" fillId="5" fontId="19" numFmtId="0" xfId="0" applyAlignment="1" applyBorder="1" applyFill="1" applyFont="1">
      <alignment shrinkToFit="0" vertical="center" wrapText="1"/>
    </xf>
    <xf borderId="4" fillId="6" fontId="14" numFmtId="0" xfId="0" applyAlignment="1" applyBorder="1" applyFill="1" applyFont="1">
      <alignment horizontal="center" shrinkToFit="0" vertical="center" wrapText="0"/>
    </xf>
    <xf borderId="4" fillId="4" fontId="14" numFmtId="166" xfId="0" applyAlignment="1" applyBorder="1" applyFill="1" applyFont="1" applyNumberFormat="1">
      <alignment shrinkToFit="0" vertical="center" wrapText="0"/>
    </xf>
    <xf borderId="0" fillId="0" fontId="17" numFmtId="0" xfId="0" applyAlignment="1" applyFont="1">
      <alignment horizontal="right" shrinkToFit="0" vertical="bottom" wrapText="0"/>
    </xf>
    <xf borderId="4" fillId="0" fontId="20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ee.com.my/Portable-220V-60W-Electric-Soldering-Iron-Set-Adjustable-Temperature-200-450%E2%84%83-Electronic-DIY-Kits-i.1570699105.40227025340?extraParams=%7B%22display_model_id%22%3A282229759242%2C%22model_selection_logic%22%3A3%7D&amp;rModelId=28222975924" TargetMode="External"/><Relationship Id="rId20" Type="http://schemas.openxmlformats.org/officeDocument/2006/relationships/hyperlink" Target="https://shopee.com.my/Ball-Bearing-for-1mm-1.5mm-2mm-3mm-4mm-5mm-6mm-8mm-10mm-Metal-Shaft-RBT-Project-Toys-Model-i.114449913.18932166513?extraParams=%7B%22display_model_id%22%3A88108465059%2C%22model_selection_logic%22%3A3%7D" TargetMode="External"/><Relationship Id="rId42" Type="http://schemas.openxmlformats.org/officeDocument/2006/relationships/vmlDrawing" Target="../drawings/vmlDrawing1.vml"/><Relationship Id="rId41" Type="http://schemas.openxmlformats.org/officeDocument/2006/relationships/drawing" Target="../drawings/drawing1.xml"/><Relationship Id="rId22" Type="http://schemas.openxmlformats.org/officeDocument/2006/relationships/hyperlink" Target="https://shopee.com.my/M3-M4-M5-M6-Screw-Pan-Head-Phillips-304-Stainless-Steel-GB818-Skru-i.243397959.20112160470?extraParams=%7B%22display_model_id%22%3A210689829549%2C%22model_selection_logic%22%3A2%7D" TargetMode="External"/><Relationship Id="rId21" Type="http://schemas.openxmlformats.org/officeDocument/2006/relationships/hyperlink" Target="https://shopee.com.my/M3-M4-M5-M6-Screw-Pan-Head-Phillips-304-Stainless-Steel-GB818-Skru-i.243397959.20112160470?extraParams=%7B%22display_model_id%22%3A210689829549%2C%22model_selection_logic%22%3A2%7D" TargetMode="External"/><Relationship Id="rId24" Type="http://schemas.openxmlformats.org/officeDocument/2006/relationships/hyperlink" Target="https://shopee.com.my/Nylon-Lock-Nut-304-Stainless-Steel-Hexagon-M2-M2.5-M3-M4-M5-M6-M8-M10-M12-Hex-Lock-Nut-DIN985-i.243397959.4757954553?extraParams=%7B%22display_model_id%22%3A31434481836%2C%22model_selection_logic%22%3A2%7D" TargetMode="External"/><Relationship Id="rId23" Type="http://schemas.openxmlformats.org/officeDocument/2006/relationships/hyperlink" Target="https://shopee.com.my/M1.4-M2-M2.5-M3-M4-Embedded-Nut-Threaded-Insert-RoHS-Standard-Brass-3D-Printing-i.243397959.18176839221?extraParams=%7B%22display_model_id%22%3A98661196800%2C%22model_selection_logic%22%3A3%7D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hopee.com.my/DIYMORE-ESP32-S3-DevKitC-1-N16R8-Development-Board-WiFi-BLE-5.0-Module-with-16MB-Flash-8MB-PSRAM-Dual-Core-240MHz-for-AIoT-Smart-Home-i.145270449.45661739634?extraParams=%7B%22display_model_id%22%3A386017578852%2C%22model_selection_l" TargetMode="External"/><Relationship Id="rId3" Type="http://schemas.openxmlformats.org/officeDocument/2006/relationships/hyperlink" Target="https://www.dfrobot.com/product-1435.html" TargetMode="External"/><Relationship Id="rId4" Type="http://schemas.openxmlformats.org/officeDocument/2006/relationships/hyperlink" Target="https://my.cytron.io/p-3v-1350rpm-dc-micro-metal-gearmotor" TargetMode="External"/><Relationship Id="rId9" Type="http://schemas.openxmlformats.org/officeDocument/2006/relationships/hyperlink" Target="https://my.cytron.io/p-sharp-analog-distance-sensor-4-30cm" TargetMode="External"/><Relationship Id="rId26" Type="http://schemas.openxmlformats.org/officeDocument/2006/relationships/hyperlink" Target="https://shopee.com.my/Big-Orange-Washable-Universal-Vacuum-Cleaner-Cloth-Dust-Bag-Vacuum-Cleaner-Bag-Reusable-i.216420158.5462054938?extraParams=%7B%22display_model_id%22%3A71759163225%2C%22model_selection_logic%22%3A3%7D" TargetMode="External"/><Relationship Id="rId25" Type="http://schemas.openxmlformats.org/officeDocument/2006/relationships/hyperlink" Target="https://shopee.com.my/-LY-XHYH-304-Stainless-Steel-Compression-Spring-(wire-Diameter-0.4mm-*-Outer-Diameter-3mm-12mm-*-Length-5mm-50mm)-Shock-Absorber-Spring-Precision-Pressure-Spring-i.1525505012.28934394190?extraParams=%7B%22display_model_id%22%3A138313" TargetMode="External"/><Relationship Id="rId28" Type="http://schemas.openxmlformats.org/officeDocument/2006/relationships/hyperlink" Target="https://shopee.com.my/1-Meter-Red-Black-Twin-Cable-22AWG-20AWG-18AWG-17AWG-16AWG-14AWG-Electric-Electrical-Wire-Power-Cable-Speaker-Wire-i.268822975.28107542485?extraParams=%7B%22display_model_id%22%3A148740477335%2C%22model_selection_logic%22%3A3%7D" TargetMode="External"/><Relationship Id="rId27" Type="http://schemas.openxmlformats.org/officeDocument/2006/relationships/hyperlink" Target="https://shopee.com.my/MB102-Breadboard-170-400-830-Holes-Breadboard-Donut-Board-Arduino-Prototype-Multi-Color-i.1165814930.25477002583?extraParams=%7B%22display_model_id%22%3A208072027950%2C%22model_selection_logic%22%3A3%7D" TargetMode="External"/><Relationship Id="rId5" Type="http://schemas.openxmlformats.org/officeDocument/2006/relationships/hyperlink" Target="https://my.cytron.io/p-spg10-n20-dc-geared-motor-bracket-kit" TargetMode="External"/><Relationship Id="rId6" Type="http://schemas.openxmlformats.org/officeDocument/2006/relationships/hyperlink" Target="https://my.cytron.io/p-2amp-7v-30v-l298n-motor-driver-stepper-driver-2-channels" TargetMode="External"/><Relationship Id="rId29" Type="http://schemas.openxmlformats.org/officeDocument/2006/relationships/hyperlink" Target="https://shopee.com.my/1-Meter-Red-Black-Twin-Cable-22AWG-20AWG-18AWG-17AWG-16AWG-14AWG-Electric-Electrical-Wire-Power-Cable-Speaker-Wire-i.268822975.28107542485?extraParams=%7B%22display_model_id%22%3A148740477335%2C%22model_selection_logic%22%3A3%7D" TargetMode="External"/><Relationship Id="rId7" Type="http://schemas.openxmlformats.org/officeDocument/2006/relationships/hyperlink" Target="https://shopee.com.my/MOSFET-Button-IRF520-MOSFET-Driver-Module-for-Raspberry-pi-Arduino-ElectricA--i.96013540.5653412121?extraParams=%7B%22display_model_id%22%3A21974599353%2C%22model_selection_logic%22%3A3%7D" TargetMode="External"/><Relationship Id="rId8" Type="http://schemas.openxmlformats.org/officeDocument/2006/relationships/hyperlink" Target="https://www.aliexpress.com/item/32264652512.html" TargetMode="External"/><Relationship Id="rId31" Type="http://schemas.openxmlformats.org/officeDocument/2006/relationships/hyperlink" Target="https://shopee.com.my/40pcs-Dupont-Wire-10cm-20cm-30cm-for-Breadboard-DIY-Experiment-Jumper-Wire-Breadboard-wire-i.1165814930.24676987244?extraParams=%7B%22display_model_id%22%3A187468506199%2C%22model_selection_logic%22%3A3%7D" TargetMode="External"/><Relationship Id="rId30" Type="http://schemas.openxmlformats.org/officeDocument/2006/relationships/hyperlink" Target="https://shopee.com.my/Double-Sided-Donut-Board-DIY-Robotics-Prototype-Board-PCB-Circuit-Board-i.1165814930.27521237000?extraParams=%7B%22display_model_id%22%3A252298009081%2C%22model_selection_logic%22%3A3%7D" TargetMode="External"/><Relationship Id="rId11" Type="http://schemas.openxmlformats.org/officeDocument/2006/relationships/hyperlink" Target="https://shopee.com.my/search?keyword=on%20off%20switch" TargetMode="External"/><Relationship Id="rId33" Type="http://schemas.openxmlformats.org/officeDocument/2006/relationships/hyperlink" Target="https://shopee.com.my/10-pcs-of-5mm-LED-Red-Yellow-Green-Blue-Orange-Light-Emitting-Diode-Extra-Long-Led-Normal-TechMakers-i.55645224.9676906423?extraParams=%7B%22display_model_id%22%3A66372892367%2C%22model_selection_logic%22%3A3%7D" TargetMode="External"/><Relationship Id="rId10" Type="http://schemas.openxmlformats.org/officeDocument/2006/relationships/hyperlink" Target="https://shopee.com.my/3-Pin-KW11-5A-Small-Touch-Long-Straight-Micro-Switch-Travel-Miniature-KW12-KW-125VAC-250VAC-Contact-Limit-Lever-Switch-i.55645224.1844550241?extraParams=%7B%22display_model_id%22%3A68229909526%2C%22model_selection_logic%22%3A3%7D" TargetMode="External"/><Relationship Id="rId32" Type="http://schemas.openxmlformats.org/officeDocument/2006/relationships/hyperlink" Target="https://shopee.com.my/10-pcs-of-Resistor-1-0.25W-1-10-100-1K-10K-100K-1M-ohm-1-4-0.25-Watt-Metal-Film-Resistance-Perintang-i.55645224.4011502286?extraParams=%7B%22display_model_id%22%3A11749661321%2C%22model_selection_logic%22%3A3%7D" TargetMode="External"/><Relationship Id="rId13" Type="http://schemas.openxmlformats.org/officeDocument/2006/relationships/hyperlink" Target="https://shopee.com.my/12v-Female-Cable-Pure-Copper-Core-Plug-Red-Black-Power-Cord-Monitoring-Power-Male-Female-Connector-DC5521-Power-Cord-i.689628071.10587867794?extraParams=%7B%22display_model_id%22%3A86968037147%2C%22model_selection_logic%22%3A3%7D" TargetMode="External"/><Relationship Id="rId35" Type="http://schemas.openxmlformats.org/officeDocument/2006/relationships/hyperlink" Target="https://shopee.com.my/Heatsink-40x40x11-mm-Aluminium-Clear-Black-Gold-Anodized-i.6674515.812567757?extraParams=%7B%22display_model_id%22%3A321007863941%2C%22model_selection_logic%22%3A3%7D" TargetMode="External"/><Relationship Id="rId12" Type="http://schemas.openxmlformats.org/officeDocument/2006/relationships/hyperlink" Target="https://shopee.com.my/12v-DC-Rechargeable-Battery-Polymer-Lithium-Ion-Battery-with-Charger-i.39262325.2153389061?extraParams=%7B%22display_model_id%22%3A3998849337%2C%22model_selection_logic%22%3A3%7D&amp;rModelId=3998849337&amp;vItemId=57165012843&amp;vModelId=33128" TargetMode="External"/><Relationship Id="rId34" Type="http://schemas.openxmlformats.org/officeDocument/2006/relationships/hyperlink" Target="https://shopee.com.my/Heatsink-40x40x11-mm-Aluminium-Clear-Black-Gold-Anodized-i.6674515.812567757?extraParams=%7B%22display_model_id%22%3A321007863941%2C%22model_selection_logic%22%3A3%7D" TargetMode="External"/><Relationship Id="rId15" Type="http://schemas.openxmlformats.org/officeDocument/2006/relationships/hyperlink" Target="https://shopee.com.my/Fuse-Holder-Black-12V-Mini-Blade-Water-Proof-Fuse-Holder-Mini-Waterproof-i.47907461.6050516278?extraParams=%7B%22display_model_id%22%3A446198273957%2C%22model_selection_logic%22%3A3%7D" TargetMode="External"/><Relationship Id="rId37" Type="http://schemas.openxmlformats.org/officeDocument/2006/relationships/hyperlink" Target="https://shopee.com.my/-5mm-5.08mm-Pitch-2P-3P-4P-PCB-Panel-Mount-Screw-Terminal-Block-Connector-Pin-KF-KF301-WJ306-i.155961970.26250640462?extraParams=%7B%22display_model_id%22%3A222818414166%2C%22model_selection_logic%22%3A3%7D" TargetMode="External"/><Relationship Id="rId14" Type="http://schemas.openxmlformats.org/officeDocument/2006/relationships/hyperlink" Target="https://shopee.com.my/DC-DC-buck-converter-(LM2596-step-down-fixed-output-DC-voltage)-i.35780982.55303850475?extraParams=%7B%22display_model_id%22%3A302294481058%2C%22model_selection_logic%22%3A3%7D" TargetMode="External"/><Relationship Id="rId36" Type="http://schemas.openxmlformats.org/officeDocument/2006/relationships/hyperlink" Target="https://shopee.com.my/Straight-Pin-Header-(Female)-i.23949362.861366721?extraParams=%7B%22display_model_id%22%3A3671027746%2C%22model_selection_logic%22%3A3%7D" TargetMode="External"/><Relationship Id="rId17" Type="http://schemas.openxmlformats.org/officeDocument/2006/relationships/hyperlink" Target="https://my.cytron.io/p-mini-wheel-42x19-mm-1-pair" TargetMode="External"/><Relationship Id="rId39" Type="http://schemas.openxmlformats.org/officeDocument/2006/relationships/hyperlink" Target="https://shopee.com.my/63-37-Tin-Lead-Solder-Wire-with-Rosin-Core-Available-in-0.5mm-to-1.5mm-Thickness-and-50g-to-100g-Sizes-i.1602560.7693354868?extraParams=%7B%22display_model_id%22%3A200304825170%2C%22model_selection_logic%22%3A3%7D&amp;rModelId=2003048251" TargetMode="External"/><Relationship Id="rId16" Type="http://schemas.openxmlformats.org/officeDocument/2006/relationships/hyperlink" Target="https://shopee.com.my/1-5-10-PIECE-PRICE!!!ORIGINAL-PERODUA-JAPAN-PEC-MINI-PLUG-IN-BLADE-FUSE-FOR-PROTON-TOYOTA-HONDA-NISSAN-HYUNDAI-ETC-i.112477153.4554780740?extraParams=%7B%22display_model_id%22%3A113807436703%2C%22model_selection_logic%22%3A2%7D" TargetMode="External"/><Relationship Id="rId38" Type="http://schemas.openxmlformats.org/officeDocument/2006/relationships/hyperlink" Target="https://shopee.com.my/Heat-Shrink-Tube-Shrinking-Assorted-Polyolefin-Insulation-Sleeving-Wire-Cable-Sleeve-Wrap-i.1544097918.42855274889?extraParams=%7B%22display_model_id%22%3A265446544760%2C%22model_selection_logic%22%3A3%7D&amp;rModelId=265446544760&amp;vItemI" TargetMode="External"/><Relationship Id="rId19" Type="http://schemas.openxmlformats.org/officeDocument/2006/relationships/hyperlink" Target="https://shopee.com.my/Aluminium-CNC-Motor-Jaw-Shaft-Coupler-Flexible-Coupling-Motor-Shaft-Coupling-3mm-4mm-5mm-6mm-8mm-10mm-i.33091591.948158578?extraParams=%7B%22display_model_id%22%3A30877687460%2C%22model_selection_logic%22%3A3%7D" TargetMode="External"/><Relationship Id="rId18" Type="http://schemas.openxmlformats.org/officeDocument/2006/relationships/hyperlink" Target="https://my.cytron.io/p-w420-steel-ball-universal-wheel-casto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18.0"/>
    <col customWidth="1" min="2" max="2" width="44.14"/>
    <col customWidth="1" min="3" max="3" width="19.0"/>
    <col customWidth="1" min="4" max="4" width="30.0"/>
    <col customWidth="1" min="5" max="5" width="6.0"/>
    <col customWidth="1" min="6" max="6" width="10.0"/>
    <col customWidth="1" min="7" max="7" width="12.0"/>
    <col customWidth="1" min="8" max="8" width="14.0"/>
    <col customWidth="1" min="9" max="9" width="38.0"/>
    <col customWidth="1" min="10" max="10" width="34.0"/>
    <col customWidth="1" min="1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4"/>
    </row>
    <row r="2">
      <c r="A2" s="6" t="s">
        <v>2</v>
      </c>
      <c r="B2" s="2"/>
      <c r="C2" s="2"/>
      <c r="D2" s="2"/>
      <c r="E2" s="2"/>
      <c r="F2" s="2"/>
      <c r="G2" s="2"/>
      <c r="H2" s="2"/>
      <c r="I2" s="2"/>
      <c r="J2" s="4"/>
    </row>
    <row r="4">
      <c r="A4" s="8" t="s">
        <v>8</v>
      </c>
      <c r="B4" s="9">
        <v>4.1</v>
      </c>
      <c r="G4" s="10" t="s">
        <v>9</v>
      </c>
      <c r="H4" s="11">
        <f>SUM(H9:H49)</f>
        <v>623.8</v>
      </c>
      <c r="I4" s="10" t="s">
        <v>10</v>
      </c>
      <c r="J4" s="13">
        <f>H4/B5</f>
        <v>0.7607317073</v>
      </c>
    </row>
    <row r="5">
      <c r="A5" s="14" t="s">
        <v>11</v>
      </c>
      <c r="B5" s="15">
        <v>820.0</v>
      </c>
      <c r="G5" s="10" t="s">
        <v>12</v>
      </c>
      <c r="H5" s="11">
        <f>B5-H4</f>
        <v>196.2</v>
      </c>
      <c r="I5" s="10" t="s">
        <v>14</v>
      </c>
      <c r="J5" s="18">
        <f>COUNTIF(J9:J49,"&lt;&gt;")</f>
        <v>6</v>
      </c>
    </row>
    <row r="6">
      <c r="A6" s="19" t="s">
        <v>15</v>
      </c>
    </row>
    <row r="8" ht="27.75" customHeight="1">
      <c r="A8" s="20" t="s">
        <v>3</v>
      </c>
      <c r="B8" s="20" t="s">
        <v>16</v>
      </c>
      <c r="C8" s="20" t="s">
        <v>17</v>
      </c>
      <c r="D8" s="20" t="s">
        <v>18</v>
      </c>
      <c r="E8" s="20" t="s">
        <v>19</v>
      </c>
      <c r="F8" s="20" t="s">
        <v>20</v>
      </c>
      <c r="G8" s="20" t="s">
        <v>21</v>
      </c>
      <c r="H8" s="20" t="s">
        <v>5</v>
      </c>
      <c r="I8" s="20" t="s">
        <v>22</v>
      </c>
      <c r="J8" s="20" t="s">
        <v>23</v>
      </c>
    </row>
    <row r="9">
      <c r="A9" s="23" t="s">
        <v>7</v>
      </c>
      <c r="B9" s="24" t="s">
        <v>26</v>
      </c>
      <c r="C9" s="25" t="s">
        <v>28</v>
      </c>
      <c r="D9" s="26" t="s">
        <v>29</v>
      </c>
      <c r="E9" s="27">
        <v>1.0</v>
      </c>
      <c r="F9" s="25"/>
      <c r="G9" s="28">
        <v>67.0</v>
      </c>
      <c r="H9" s="29">
        <f t="shared" ref="H9:H49" si="1">E9*G9</f>
        <v>67</v>
      </c>
      <c r="I9" s="24" t="s">
        <v>7</v>
      </c>
      <c r="J9" s="24"/>
    </row>
    <row r="10">
      <c r="A10" s="30" t="s">
        <v>13</v>
      </c>
      <c r="B10" s="31" t="s">
        <v>33</v>
      </c>
      <c r="C10" s="32" t="s">
        <v>34</v>
      </c>
      <c r="D10" s="33" t="s">
        <v>35</v>
      </c>
      <c r="E10" s="34">
        <v>2.0</v>
      </c>
      <c r="F10" s="35">
        <v>11.5</v>
      </c>
      <c r="G10" s="36">
        <f>F10*$B$4</f>
        <v>47.15</v>
      </c>
      <c r="H10" s="36">
        <f t="shared" si="1"/>
        <v>94.3</v>
      </c>
      <c r="I10" s="31" t="s">
        <v>38</v>
      </c>
      <c r="J10" s="31"/>
    </row>
    <row r="11">
      <c r="A11" s="38" t="s">
        <v>13</v>
      </c>
      <c r="B11" s="31" t="s">
        <v>39</v>
      </c>
      <c r="C11" s="32" t="s">
        <v>40</v>
      </c>
      <c r="D11" s="33" t="s">
        <v>41</v>
      </c>
      <c r="E11" s="34">
        <v>1.0</v>
      </c>
      <c r="F11" s="32"/>
      <c r="G11" s="41">
        <v>15.0</v>
      </c>
      <c r="H11" s="36">
        <f t="shared" si="1"/>
        <v>15</v>
      </c>
      <c r="I11" s="31" t="s">
        <v>43</v>
      </c>
      <c r="J11" s="31"/>
    </row>
    <row r="12">
      <c r="A12" s="38" t="s">
        <v>13</v>
      </c>
      <c r="B12" s="31" t="s">
        <v>44</v>
      </c>
      <c r="C12" s="32" t="s">
        <v>40</v>
      </c>
      <c r="D12" s="33" t="s">
        <v>45</v>
      </c>
      <c r="E12" s="34">
        <v>1.0</v>
      </c>
      <c r="F12" s="32"/>
      <c r="G12" s="41">
        <v>8.0</v>
      </c>
      <c r="H12" s="36">
        <f t="shared" si="1"/>
        <v>8</v>
      </c>
      <c r="I12" s="31" t="s">
        <v>47</v>
      </c>
      <c r="J12" s="31"/>
    </row>
    <row r="13">
      <c r="A13" s="38" t="s">
        <v>13</v>
      </c>
      <c r="B13" s="31" t="s">
        <v>48</v>
      </c>
      <c r="C13" s="32" t="s">
        <v>28</v>
      </c>
      <c r="D13" s="33" t="s">
        <v>49</v>
      </c>
      <c r="E13" s="34">
        <v>1.0</v>
      </c>
      <c r="F13" s="32"/>
      <c r="G13" s="41">
        <v>5.0</v>
      </c>
      <c r="H13" s="36">
        <f t="shared" si="1"/>
        <v>5</v>
      </c>
      <c r="I13" s="31" t="s">
        <v>50</v>
      </c>
      <c r="J13" s="31"/>
    </row>
    <row r="14">
      <c r="A14" s="38" t="s">
        <v>13</v>
      </c>
      <c r="B14" s="31" t="s">
        <v>51</v>
      </c>
      <c r="C14" s="32" t="s">
        <v>28</v>
      </c>
      <c r="D14" s="33" t="s">
        <v>52</v>
      </c>
      <c r="E14" s="34">
        <v>2.0</v>
      </c>
      <c r="F14" s="32"/>
      <c r="G14" s="41">
        <v>6.0</v>
      </c>
      <c r="H14" s="36">
        <f t="shared" si="1"/>
        <v>12</v>
      </c>
      <c r="I14" s="31" t="s">
        <v>53</v>
      </c>
      <c r="J14" s="31"/>
    </row>
    <row r="15">
      <c r="A15" s="38" t="s">
        <v>13</v>
      </c>
      <c r="B15" s="31" t="s">
        <v>54</v>
      </c>
      <c r="C15" s="32" t="s">
        <v>55</v>
      </c>
      <c r="D15" s="33" t="s">
        <v>56</v>
      </c>
      <c r="E15" s="34">
        <v>1.0</v>
      </c>
      <c r="F15" s="32"/>
      <c r="G15" s="41">
        <v>60.0</v>
      </c>
      <c r="H15" s="36">
        <f t="shared" si="1"/>
        <v>60</v>
      </c>
      <c r="I15" s="31" t="s">
        <v>57</v>
      </c>
      <c r="J15" s="31"/>
    </row>
    <row r="16">
      <c r="A16" s="23" t="s">
        <v>24</v>
      </c>
      <c r="B16" s="24" t="s">
        <v>58</v>
      </c>
      <c r="C16" s="25" t="s">
        <v>40</v>
      </c>
      <c r="D16" s="26" t="s">
        <v>59</v>
      </c>
      <c r="E16" s="27">
        <v>2.0</v>
      </c>
      <c r="F16" s="25"/>
      <c r="G16" s="28">
        <v>35.0</v>
      </c>
      <c r="H16" s="29">
        <f t="shared" si="1"/>
        <v>70</v>
      </c>
      <c r="I16" s="24" t="s">
        <v>60</v>
      </c>
      <c r="J16" s="24"/>
    </row>
    <row r="17">
      <c r="A17" s="44" t="s">
        <v>24</v>
      </c>
      <c r="B17" s="24" t="s">
        <v>61</v>
      </c>
      <c r="C17" s="25" t="s">
        <v>62</v>
      </c>
      <c r="D17" s="26" t="s">
        <v>63</v>
      </c>
      <c r="E17" s="27">
        <v>2.0</v>
      </c>
      <c r="F17" s="25"/>
      <c r="G17" s="28">
        <v>2.5</v>
      </c>
      <c r="H17" s="29">
        <f t="shared" si="1"/>
        <v>5</v>
      </c>
      <c r="I17" s="24" t="s">
        <v>64</v>
      </c>
      <c r="J17" s="24"/>
    </row>
    <row r="18">
      <c r="A18" s="44" t="s">
        <v>24</v>
      </c>
      <c r="B18" s="24" t="s">
        <v>65</v>
      </c>
      <c r="C18" s="25" t="s">
        <v>28</v>
      </c>
      <c r="D18" s="45" t="s">
        <v>66</v>
      </c>
      <c r="E18" s="27">
        <v>1.0</v>
      </c>
      <c r="F18" s="25"/>
      <c r="G18" s="28">
        <v>3.0</v>
      </c>
      <c r="H18" s="29">
        <f t="shared" si="1"/>
        <v>3</v>
      </c>
      <c r="I18" s="24" t="s">
        <v>67</v>
      </c>
      <c r="J18" s="46" t="s">
        <v>68</v>
      </c>
    </row>
    <row r="19">
      <c r="A19" s="30" t="s">
        <v>25</v>
      </c>
      <c r="B19" s="31" t="s">
        <v>69</v>
      </c>
      <c r="C19" s="32" t="s">
        <v>28</v>
      </c>
      <c r="D19" s="33" t="s">
        <v>70</v>
      </c>
      <c r="E19" s="34">
        <v>1.0</v>
      </c>
      <c r="F19" s="32"/>
      <c r="G19" s="41">
        <v>69.0</v>
      </c>
      <c r="H19" s="36">
        <f t="shared" si="1"/>
        <v>69</v>
      </c>
      <c r="I19" s="31" t="s">
        <v>71</v>
      </c>
      <c r="J19" s="31"/>
    </row>
    <row r="20">
      <c r="A20" s="38" t="s">
        <v>25</v>
      </c>
      <c r="B20" s="31" t="s">
        <v>72</v>
      </c>
      <c r="C20" s="32" t="s">
        <v>28</v>
      </c>
      <c r="D20" s="33" t="s">
        <v>73</v>
      </c>
      <c r="E20" s="34">
        <v>1.0</v>
      </c>
      <c r="F20" s="32"/>
      <c r="G20" s="41">
        <v>5.0</v>
      </c>
      <c r="H20" s="36">
        <f t="shared" si="1"/>
        <v>5</v>
      </c>
      <c r="I20" s="31" t="s">
        <v>74</v>
      </c>
      <c r="J20" s="31"/>
    </row>
    <row r="21" ht="15.75" customHeight="1">
      <c r="A21" s="38" t="s">
        <v>25</v>
      </c>
      <c r="B21" s="31" t="s">
        <v>75</v>
      </c>
      <c r="C21" s="32" t="s">
        <v>28</v>
      </c>
      <c r="D21" s="33" t="s">
        <v>76</v>
      </c>
      <c r="E21" s="34">
        <v>1.0</v>
      </c>
      <c r="F21" s="32"/>
      <c r="G21" s="41">
        <v>4.0</v>
      </c>
      <c r="H21" s="36">
        <f t="shared" si="1"/>
        <v>4</v>
      </c>
      <c r="I21" s="31" t="s">
        <v>77</v>
      </c>
      <c r="J21" s="31"/>
    </row>
    <row r="22" ht="15.75" customHeight="1">
      <c r="A22" s="38" t="s">
        <v>25</v>
      </c>
      <c r="B22" s="31" t="s">
        <v>78</v>
      </c>
      <c r="C22" s="32" t="s">
        <v>28</v>
      </c>
      <c r="D22" s="33" t="s">
        <v>79</v>
      </c>
      <c r="E22" s="34">
        <v>1.0</v>
      </c>
      <c r="F22" s="32"/>
      <c r="G22" s="41">
        <v>4.0</v>
      </c>
      <c r="H22" s="36">
        <f t="shared" si="1"/>
        <v>4</v>
      </c>
      <c r="I22" s="31" t="s">
        <v>80</v>
      </c>
      <c r="J22" s="31"/>
    </row>
    <row r="23" ht="15.75" customHeight="1">
      <c r="A23" s="38" t="s">
        <v>25</v>
      </c>
      <c r="B23" s="31" t="s">
        <v>81</v>
      </c>
      <c r="C23" s="32" t="s">
        <v>28</v>
      </c>
      <c r="D23" s="33" t="s">
        <v>82</v>
      </c>
      <c r="E23" s="34">
        <v>1.0</v>
      </c>
      <c r="F23" s="32"/>
      <c r="G23" s="41">
        <v>7.0</v>
      </c>
      <c r="H23" s="36">
        <f t="shared" si="1"/>
        <v>7</v>
      </c>
      <c r="I23" s="31" t="s">
        <v>83</v>
      </c>
      <c r="J23" s="31"/>
    </row>
    <row r="24" ht="15.75" customHeight="1">
      <c r="A24" s="23" t="s">
        <v>27</v>
      </c>
      <c r="B24" s="24" t="s">
        <v>84</v>
      </c>
      <c r="C24" s="25" t="s">
        <v>40</v>
      </c>
      <c r="D24" s="26" t="s">
        <v>85</v>
      </c>
      <c r="E24" s="27">
        <v>1.0</v>
      </c>
      <c r="F24" s="25"/>
      <c r="G24" s="28">
        <v>8.0</v>
      </c>
      <c r="H24" s="29">
        <f t="shared" si="1"/>
        <v>8</v>
      </c>
      <c r="I24" s="24" t="s">
        <v>86</v>
      </c>
      <c r="J24" s="24"/>
    </row>
    <row r="25" ht="15.75" customHeight="1">
      <c r="A25" s="44" t="s">
        <v>27</v>
      </c>
      <c r="B25" s="24" t="s">
        <v>87</v>
      </c>
      <c r="C25" s="25" t="s">
        <v>40</v>
      </c>
      <c r="D25" s="26" t="s">
        <v>88</v>
      </c>
      <c r="E25" s="27">
        <v>1.0</v>
      </c>
      <c r="F25" s="25"/>
      <c r="G25" s="28">
        <v>3.0</v>
      </c>
      <c r="H25" s="29">
        <f t="shared" si="1"/>
        <v>3</v>
      </c>
      <c r="I25" s="24" t="s">
        <v>89</v>
      </c>
      <c r="J25" s="24"/>
    </row>
    <row r="26" ht="15.75" customHeight="1">
      <c r="A26" s="44" t="s">
        <v>27</v>
      </c>
      <c r="B26" s="24" t="s">
        <v>90</v>
      </c>
      <c r="C26" s="25" t="s">
        <v>28</v>
      </c>
      <c r="D26" s="26" t="s">
        <v>91</v>
      </c>
      <c r="E26" s="27">
        <v>1.0</v>
      </c>
      <c r="F26" s="25"/>
      <c r="G26" s="28">
        <v>6.5</v>
      </c>
      <c r="H26" s="29">
        <f t="shared" si="1"/>
        <v>6.5</v>
      </c>
      <c r="I26" s="24" t="s">
        <v>92</v>
      </c>
      <c r="J26" s="24"/>
    </row>
    <row r="27" ht="15.75" customHeight="1">
      <c r="A27" s="44" t="s">
        <v>27</v>
      </c>
      <c r="B27" s="24" t="s">
        <v>93</v>
      </c>
      <c r="C27" s="25" t="s">
        <v>28</v>
      </c>
      <c r="D27" s="26" t="s">
        <v>94</v>
      </c>
      <c r="E27" s="27">
        <v>1.0</v>
      </c>
      <c r="F27" s="25"/>
      <c r="G27" s="28">
        <v>4.0</v>
      </c>
      <c r="H27" s="29">
        <f t="shared" si="1"/>
        <v>4</v>
      </c>
      <c r="I27" s="24" t="s">
        <v>95</v>
      </c>
      <c r="J27" s="24"/>
    </row>
    <row r="28" ht="15.75" customHeight="1">
      <c r="A28" s="44" t="s">
        <v>27</v>
      </c>
      <c r="B28" s="24" t="s">
        <v>96</v>
      </c>
      <c r="C28" s="25" t="s">
        <v>28</v>
      </c>
      <c r="D28" s="26" t="s">
        <v>97</v>
      </c>
      <c r="E28" s="27">
        <v>20.0</v>
      </c>
      <c r="F28" s="25"/>
      <c r="G28" s="28">
        <v>0.1</v>
      </c>
      <c r="H28" s="29">
        <f t="shared" si="1"/>
        <v>2</v>
      </c>
      <c r="I28" s="24" t="s">
        <v>98</v>
      </c>
      <c r="J28" s="24"/>
    </row>
    <row r="29" ht="15.75" customHeight="1">
      <c r="A29" s="44" t="s">
        <v>27</v>
      </c>
      <c r="B29" s="24" t="s">
        <v>99</v>
      </c>
      <c r="C29" s="25" t="s">
        <v>28</v>
      </c>
      <c r="D29" s="26" t="s">
        <v>97</v>
      </c>
      <c r="E29" s="27">
        <v>20.0</v>
      </c>
      <c r="F29" s="25"/>
      <c r="G29" s="28">
        <v>0.16</v>
      </c>
      <c r="H29" s="29">
        <f t="shared" si="1"/>
        <v>3.2</v>
      </c>
      <c r="I29" s="24" t="s">
        <v>100</v>
      </c>
      <c r="J29" s="24"/>
    </row>
    <row r="30" ht="15.75" customHeight="1">
      <c r="A30" s="44" t="s">
        <v>27</v>
      </c>
      <c r="B30" s="24" t="s">
        <v>101</v>
      </c>
      <c r="C30" s="25" t="s">
        <v>28</v>
      </c>
      <c r="D30" s="26" t="s">
        <v>102</v>
      </c>
      <c r="E30" s="27">
        <v>1.0</v>
      </c>
      <c r="F30" s="25"/>
      <c r="G30" s="47">
        <v>8.0</v>
      </c>
      <c r="H30" s="29">
        <f t="shared" si="1"/>
        <v>8</v>
      </c>
      <c r="I30" s="24" t="s">
        <v>103</v>
      </c>
      <c r="J30" s="46" t="s">
        <v>104</v>
      </c>
    </row>
    <row r="31" ht="15.75" customHeight="1">
      <c r="A31" s="44" t="s">
        <v>27</v>
      </c>
      <c r="B31" s="24" t="s">
        <v>105</v>
      </c>
      <c r="C31" s="25" t="s">
        <v>28</v>
      </c>
      <c r="D31" s="26" t="s">
        <v>106</v>
      </c>
      <c r="E31" s="27">
        <v>20.0</v>
      </c>
      <c r="F31" s="25"/>
      <c r="G31" s="28">
        <v>0.1</v>
      </c>
      <c r="H31" s="29">
        <f t="shared" si="1"/>
        <v>2</v>
      </c>
      <c r="I31" s="24" t="s">
        <v>107</v>
      </c>
      <c r="J31" s="24"/>
    </row>
    <row r="32" ht="15.75" customHeight="1">
      <c r="A32" s="44" t="s">
        <v>27</v>
      </c>
      <c r="B32" s="24" t="s">
        <v>108</v>
      </c>
      <c r="C32" s="25" t="s">
        <v>28</v>
      </c>
      <c r="D32" s="26" t="s">
        <v>109</v>
      </c>
      <c r="E32" s="27">
        <v>1.0</v>
      </c>
      <c r="F32" s="25"/>
      <c r="G32" s="28">
        <v>4.0</v>
      </c>
      <c r="H32" s="29">
        <f t="shared" si="1"/>
        <v>4</v>
      </c>
      <c r="I32" s="24" t="s">
        <v>110</v>
      </c>
      <c r="J32" s="24"/>
    </row>
    <row r="33" ht="15.75" customHeight="1">
      <c r="A33" s="44" t="s">
        <v>27</v>
      </c>
      <c r="B33" s="24" t="s">
        <v>111</v>
      </c>
      <c r="C33" s="25" t="s">
        <v>28</v>
      </c>
      <c r="D33" s="26" t="s">
        <v>112</v>
      </c>
      <c r="E33" s="27">
        <v>1.0</v>
      </c>
      <c r="F33" s="25"/>
      <c r="G33" s="28">
        <v>7.0</v>
      </c>
      <c r="H33" s="29">
        <f t="shared" si="1"/>
        <v>7</v>
      </c>
      <c r="I33" s="24" t="s">
        <v>113</v>
      </c>
      <c r="J33" s="24"/>
    </row>
    <row r="34" ht="15.75" customHeight="1">
      <c r="A34" s="30" t="s">
        <v>30</v>
      </c>
      <c r="B34" s="31" t="s">
        <v>114</v>
      </c>
      <c r="C34" s="32" t="s">
        <v>115</v>
      </c>
      <c r="D34" s="32"/>
      <c r="E34" s="34">
        <v>1.0</v>
      </c>
      <c r="F34" s="32"/>
      <c r="G34" s="47">
        <v>0.0</v>
      </c>
      <c r="H34" s="36">
        <f t="shared" si="1"/>
        <v>0</v>
      </c>
      <c r="I34" s="31" t="s">
        <v>116</v>
      </c>
      <c r="J34" s="48" t="s">
        <v>117</v>
      </c>
    </row>
    <row r="35" ht="15.75" customHeight="1">
      <c r="A35" s="23" t="s">
        <v>31</v>
      </c>
      <c r="B35" s="24" t="s">
        <v>118</v>
      </c>
      <c r="C35" s="25" t="s">
        <v>28</v>
      </c>
      <c r="D35" s="26" t="s">
        <v>119</v>
      </c>
      <c r="E35" s="27">
        <v>1.0</v>
      </c>
      <c r="F35" s="25"/>
      <c r="G35" s="28">
        <v>4.0</v>
      </c>
      <c r="H35" s="29">
        <f t="shared" si="1"/>
        <v>4</v>
      </c>
      <c r="I35" s="24" t="s">
        <v>120</v>
      </c>
      <c r="J35" s="24"/>
    </row>
    <row r="36" ht="15.75" customHeight="1">
      <c r="A36" s="44" t="s">
        <v>31</v>
      </c>
      <c r="B36" s="24" t="s">
        <v>121</v>
      </c>
      <c r="C36" s="25" t="s">
        <v>28</v>
      </c>
      <c r="D36" s="26" t="s">
        <v>122</v>
      </c>
      <c r="E36" s="27">
        <v>3.0</v>
      </c>
      <c r="F36" s="25"/>
      <c r="G36" s="28">
        <v>2.4</v>
      </c>
      <c r="H36" s="29">
        <f t="shared" si="1"/>
        <v>7.2</v>
      </c>
      <c r="I36" s="24" t="s">
        <v>123</v>
      </c>
      <c r="J36" s="24"/>
    </row>
    <row r="37" ht="15.75" customHeight="1">
      <c r="A37" s="44" t="s">
        <v>31</v>
      </c>
      <c r="B37" s="24" t="s">
        <v>124</v>
      </c>
      <c r="C37" s="25" t="s">
        <v>28</v>
      </c>
      <c r="D37" s="26" t="s">
        <v>122</v>
      </c>
      <c r="E37" s="27">
        <v>2.0</v>
      </c>
      <c r="F37" s="25"/>
      <c r="G37" s="28">
        <v>0.85</v>
      </c>
      <c r="H37" s="29">
        <f t="shared" si="1"/>
        <v>1.7</v>
      </c>
      <c r="I37" s="24" t="s">
        <v>125</v>
      </c>
      <c r="J37" s="24"/>
    </row>
    <row r="38" ht="15.75" customHeight="1">
      <c r="A38" s="44" t="s">
        <v>31</v>
      </c>
      <c r="B38" s="24" t="s">
        <v>126</v>
      </c>
      <c r="C38" s="25" t="s">
        <v>28</v>
      </c>
      <c r="D38" s="26" t="s">
        <v>127</v>
      </c>
      <c r="E38" s="27">
        <v>1.0</v>
      </c>
      <c r="F38" s="25"/>
      <c r="G38" s="28">
        <v>3.0</v>
      </c>
      <c r="H38" s="29">
        <f t="shared" si="1"/>
        <v>3</v>
      </c>
      <c r="I38" s="24" t="s">
        <v>128</v>
      </c>
      <c r="J38" s="24"/>
    </row>
    <row r="39" ht="15.75" customHeight="1">
      <c r="A39" s="44" t="s">
        <v>31</v>
      </c>
      <c r="B39" s="24" t="s">
        <v>129</v>
      </c>
      <c r="C39" s="25" t="s">
        <v>28</v>
      </c>
      <c r="D39" s="26" t="s">
        <v>130</v>
      </c>
      <c r="E39" s="49">
        <v>1.0</v>
      </c>
      <c r="F39" s="25"/>
      <c r="G39" s="28">
        <v>6.0</v>
      </c>
      <c r="H39" s="29">
        <f t="shared" si="1"/>
        <v>6</v>
      </c>
      <c r="I39" s="24" t="s">
        <v>131</v>
      </c>
      <c r="J39" s="46" t="s">
        <v>132</v>
      </c>
    </row>
    <row r="40" ht="15.75" customHeight="1">
      <c r="A40" s="44" t="s">
        <v>31</v>
      </c>
      <c r="B40" s="24" t="s">
        <v>133</v>
      </c>
      <c r="C40" s="25" t="s">
        <v>28</v>
      </c>
      <c r="D40" s="26" t="s">
        <v>134</v>
      </c>
      <c r="E40" s="27">
        <v>1.0</v>
      </c>
      <c r="F40" s="25"/>
      <c r="G40" s="28">
        <v>1.0</v>
      </c>
      <c r="H40" s="29">
        <f t="shared" si="1"/>
        <v>1</v>
      </c>
      <c r="I40" s="24" t="s">
        <v>135</v>
      </c>
      <c r="J40" s="24"/>
    </row>
    <row r="41" ht="15.75" customHeight="1">
      <c r="A41" s="44" t="s">
        <v>31</v>
      </c>
      <c r="B41" s="24" t="s">
        <v>136</v>
      </c>
      <c r="C41" s="25" t="s">
        <v>28</v>
      </c>
      <c r="D41" s="26" t="s">
        <v>137</v>
      </c>
      <c r="E41" s="27">
        <v>1.0</v>
      </c>
      <c r="F41" s="25"/>
      <c r="G41" s="28">
        <v>1.0</v>
      </c>
      <c r="H41" s="29">
        <f t="shared" si="1"/>
        <v>1</v>
      </c>
      <c r="I41" s="24" t="s">
        <v>138</v>
      </c>
      <c r="J41" s="24"/>
    </row>
    <row r="42" ht="15.75" customHeight="1">
      <c r="A42" s="44" t="s">
        <v>31</v>
      </c>
      <c r="B42" s="24" t="s">
        <v>139</v>
      </c>
      <c r="C42" s="25" t="s">
        <v>28</v>
      </c>
      <c r="D42" s="26" t="s">
        <v>140</v>
      </c>
      <c r="E42" s="27">
        <v>2.0</v>
      </c>
      <c r="F42" s="25"/>
      <c r="G42" s="47">
        <v>2.0</v>
      </c>
      <c r="H42" s="29">
        <f t="shared" si="1"/>
        <v>4</v>
      </c>
      <c r="I42" s="24" t="s">
        <v>141</v>
      </c>
      <c r="J42" s="46" t="s">
        <v>142</v>
      </c>
    </row>
    <row r="43" ht="15.75" customHeight="1">
      <c r="A43" s="44" t="s">
        <v>31</v>
      </c>
      <c r="B43" s="24" t="s">
        <v>143</v>
      </c>
      <c r="C43" s="25" t="s">
        <v>28</v>
      </c>
      <c r="D43" s="45" t="s">
        <v>140</v>
      </c>
      <c r="E43" s="27">
        <v>1.0</v>
      </c>
      <c r="F43" s="25"/>
      <c r="G43" s="28">
        <v>3.0</v>
      </c>
      <c r="H43" s="29">
        <f t="shared" si="1"/>
        <v>3</v>
      </c>
      <c r="I43" s="24" t="s">
        <v>144</v>
      </c>
      <c r="J43" s="46" t="s">
        <v>145</v>
      </c>
    </row>
    <row r="44" ht="15.75" customHeight="1">
      <c r="A44" s="44" t="s">
        <v>31</v>
      </c>
      <c r="B44" s="24" t="s">
        <v>146</v>
      </c>
      <c r="C44" s="25" t="s">
        <v>28</v>
      </c>
      <c r="D44" s="26" t="s">
        <v>147</v>
      </c>
      <c r="E44" s="27">
        <v>1.0</v>
      </c>
      <c r="F44" s="25"/>
      <c r="G44" s="28">
        <v>3.0</v>
      </c>
      <c r="H44" s="29">
        <f t="shared" si="1"/>
        <v>3</v>
      </c>
      <c r="I44" s="24" t="s">
        <v>148</v>
      </c>
      <c r="J44" s="24"/>
    </row>
    <row r="45" ht="15.75" customHeight="1">
      <c r="A45" s="44" t="s">
        <v>31</v>
      </c>
      <c r="B45" s="24" t="s">
        <v>149</v>
      </c>
      <c r="C45" s="25" t="s">
        <v>28</v>
      </c>
      <c r="D45" s="26" t="s">
        <v>150</v>
      </c>
      <c r="E45" s="27">
        <v>4.0</v>
      </c>
      <c r="F45" s="25"/>
      <c r="G45" s="28">
        <v>0.4</v>
      </c>
      <c r="H45" s="29">
        <f t="shared" si="1"/>
        <v>1.6</v>
      </c>
      <c r="I45" s="24" t="s">
        <v>151</v>
      </c>
      <c r="J45" s="24"/>
    </row>
    <row r="46" ht="15.75" customHeight="1">
      <c r="A46" s="44" t="s">
        <v>31</v>
      </c>
      <c r="B46" s="24" t="s">
        <v>152</v>
      </c>
      <c r="C46" s="25" t="s">
        <v>28</v>
      </c>
      <c r="D46" s="26" t="s">
        <v>153</v>
      </c>
      <c r="E46" s="27">
        <v>1.0</v>
      </c>
      <c r="F46" s="25"/>
      <c r="G46" s="28">
        <v>4.0</v>
      </c>
      <c r="H46" s="29">
        <f t="shared" si="1"/>
        <v>4</v>
      </c>
      <c r="I46" s="24" t="s">
        <v>154</v>
      </c>
      <c r="J46" s="24"/>
    </row>
    <row r="47" ht="15.75" customHeight="1">
      <c r="A47" s="44" t="s">
        <v>31</v>
      </c>
      <c r="B47" s="24" t="s">
        <v>155</v>
      </c>
      <c r="C47" s="25" t="s">
        <v>28</v>
      </c>
      <c r="D47" s="26" t="s">
        <v>156</v>
      </c>
      <c r="E47" s="27">
        <v>1.0</v>
      </c>
      <c r="F47" s="25"/>
      <c r="G47" s="28">
        <v>15.0</v>
      </c>
      <c r="H47" s="29">
        <f t="shared" si="1"/>
        <v>15</v>
      </c>
      <c r="I47" s="24" t="s">
        <v>157</v>
      </c>
      <c r="J47" s="24"/>
    </row>
    <row r="48" ht="15.75" customHeight="1">
      <c r="A48" s="30" t="s">
        <v>32</v>
      </c>
      <c r="B48" s="31" t="s">
        <v>158</v>
      </c>
      <c r="C48" s="32" t="s">
        <v>28</v>
      </c>
      <c r="D48" s="33" t="s">
        <v>159</v>
      </c>
      <c r="E48" s="34">
        <v>1.0</v>
      </c>
      <c r="F48" s="32"/>
      <c r="G48" s="41">
        <v>40.0</v>
      </c>
      <c r="H48" s="36">
        <f t="shared" si="1"/>
        <v>40</v>
      </c>
      <c r="I48" s="31" t="s">
        <v>160</v>
      </c>
      <c r="J48" s="31"/>
    </row>
    <row r="49" ht="15.75" customHeight="1">
      <c r="A49" s="23" t="s">
        <v>36</v>
      </c>
      <c r="B49" s="24" t="s">
        <v>161</v>
      </c>
      <c r="C49" s="25" t="s">
        <v>34</v>
      </c>
      <c r="D49" s="25"/>
      <c r="E49" s="27">
        <v>1.0</v>
      </c>
      <c r="F49" s="50">
        <v>13.0</v>
      </c>
      <c r="G49" s="29">
        <f>F49*$B$4</f>
        <v>53.3</v>
      </c>
      <c r="H49" s="29">
        <f t="shared" si="1"/>
        <v>53.3</v>
      </c>
      <c r="I49" s="24" t="s">
        <v>162</v>
      </c>
      <c r="J49" s="24"/>
    </row>
    <row r="50" ht="15.75" customHeight="1"/>
    <row r="51" ht="15.75" customHeight="1">
      <c r="G51" s="51" t="s">
        <v>37</v>
      </c>
      <c r="H51" s="39">
        <f>SUM(H9:H49)</f>
        <v>623.8</v>
      </c>
    </row>
    <row r="52" ht="15.75" customHeight="1">
      <c r="G52" s="51" t="s">
        <v>42</v>
      </c>
      <c r="H52" s="52">
        <f>B5</f>
        <v>820</v>
      </c>
    </row>
    <row r="53" ht="15.75" customHeight="1">
      <c r="G53" s="51" t="s">
        <v>46</v>
      </c>
      <c r="H53" s="52">
        <f>B5-H51</f>
        <v>196.2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J$49"/>
  <mergeCells count="2">
    <mergeCell ref="A1:J1"/>
    <mergeCell ref="A2:J2"/>
  </mergeCells>
  <hyperlinks>
    <hyperlink r:id="rId2" ref="D9"/>
    <hyperlink r:id="rId3" ref="D10"/>
    <hyperlink r:id="rId4" ref="D11"/>
    <hyperlink r:id="rId5" ref="D12"/>
    <hyperlink r:id="rId6" ref="D13"/>
    <hyperlink r:id="rId7" ref="D14"/>
    <hyperlink r:id="rId8" ref="D15"/>
    <hyperlink r:id="rId9" ref="D16"/>
    <hyperlink r:id="rId10" ref="D17"/>
    <hyperlink r:id="rId11" ref="D18"/>
    <hyperlink r:id="rId12" ref="D19"/>
    <hyperlink r:id="rId13" ref="D20"/>
    <hyperlink r:id="rId14" ref="D21"/>
    <hyperlink r:id="rId15" ref="D22"/>
    <hyperlink r:id="rId16" ref="D23"/>
    <hyperlink r:id="rId17" ref="D24"/>
    <hyperlink r:id="rId18" ref="D25"/>
    <hyperlink r:id="rId19" ref="D26"/>
    <hyperlink r:id="rId20" ref="D27"/>
    <hyperlink r:id="rId21" ref="D28"/>
    <hyperlink r:id="rId22" ref="D29"/>
    <hyperlink r:id="rId23" ref="D30"/>
    <hyperlink r:id="rId24" ref="D31"/>
    <hyperlink r:id="rId25" ref="D32"/>
    <hyperlink r:id="rId26" ref="D33"/>
    <hyperlink r:id="rId27" ref="D35"/>
    <hyperlink r:id="rId28" ref="D36"/>
    <hyperlink r:id="rId29" ref="D37"/>
    <hyperlink r:id="rId30" ref="D38"/>
    <hyperlink r:id="rId31" ref="D39"/>
    <hyperlink r:id="rId32" ref="D40"/>
    <hyperlink r:id="rId33" ref="D41"/>
    <hyperlink r:id="rId34" ref="D42"/>
    <hyperlink r:id="rId35" ref="D43"/>
    <hyperlink r:id="rId36" ref="D44"/>
    <hyperlink r:id="rId37" ref="D45"/>
    <hyperlink r:id="rId38" ref="D46"/>
    <hyperlink r:id="rId39" ref="D47"/>
    <hyperlink r:id="rId40" ref="D48"/>
  </hyperlinks>
  <printOptions/>
  <pageMargins bottom="1.0" footer="0.0" header="0.0" left="0.75" right="0.75" top="1.0"/>
  <pageSetup fitToHeight="0" orientation="landscape"/>
  <drawing r:id="rId41"/>
  <legacy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8.0"/>
    <col customWidth="1" min="3" max="3" width="19.0"/>
    <col customWidth="1" min="4" max="4" width="12.0"/>
    <col customWidth="1" min="5" max="26" width="8.71"/>
  </cols>
  <sheetData>
    <row r="1" ht="27.75" customHeight="1">
      <c r="A1" s="3" t="s">
        <v>1</v>
      </c>
      <c r="B1" s="2"/>
      <c r="C1" s="2"/>
      <c r="D1" s="4"/>
    </row>
    <row r="3">
      <c r="A3" s="5" t="s">
        <v>3</v>
      </c>
      <c r="B3" s="5" t="s">
        <v>4</v>
      </c>
      <c r="C3" s="5" t="s">
        <v>5</v>
      </c>
      <c r="D3" s="5" t="s">
        <v>6</v>
      </c>
    </row>
    <row r="4">
      <c r="A4" s="7" t="s">
        <v>7</v>
      </c>
      <c r="B4" s="7">
        <f>COUNTIF(BOM!$A$9:$A$49,A4)</f>
        <v>1</v>
      </c>
      <c r="C4" s="12">
        <f>SUMIF(BOM!$A$9:$A$49,A4,BOM!$H$9:$H$49)</f>
        <v>67</v>
      </c>
      <c r="D4" s="16">
        <f t="shared" ref="D4:D12" si="1">C4/$C$13</f>
        <v>0.1074062199</v>
      </c>
    </row>
    <row r="5">
      <c r="A5" s="17" t="s">
        <v>13</v>
      </c>
      <c r="B5" s="17">
        <f>COUNTIF(BOM!$A$9:$A$49,A5)</f>
        <v>6</v>
      </c>
      <c r="C5" s="21">
        <f>SUMIF(BOM!$A$9:$A$49,A5,BOM!$H$9:$H$49)</f>
        <v>194.3</v>
      </c>
      <c r="D5" s="22">
        <f t="shared" si="1"/>
        <v>0.3114780378</v>
      </c>
    </row>
    <row r="6">
      <c r="A6" s="7" t="s">
        <v>24</v>
      </c>
      <c r="B6" s="7">
        <f>COUNTIF(BOM!$A$9:$A$49,A6)</f>
        <v>3</v>
      </c>
      <c r="C6" s="12">
        <f>SUMIF(BOM!$A$9:$A$49,A6,BOM!$H$9:$H$49)</f>
        <v>78</v>
      </c>
      <c r="D6" s="16">
        <f t="shared" si="1"/>
        <v>0.1250400769</v>
      </c>
    </row>
    <row r="7">
      <c r="A7" s="17" t="s">
        <v>25</v>
      </c>
      <c r="B7" s="17">
        <f>COUNTIF(BOM!$A$9:$A$49,A7)</f>
        <v>5</v>
      </c>
      <c r="C7" s="21">
        <f>SUMIF(BOM!$A$9:$A$49,A7,BOM!$H$9:$H$49)</f>
        <v>89</v>
      </c>
      <c r="D7" s="22">
        <f t="shared" si="1"/>
        <v>0.142673934</v>
      </c>
    </row>
    <row r="8">
      <c r="A8" s="7" t="s">
        <v>27</v>
      </c>
      <c r="B8" s="7">
        <f>COUNTIF(BOM!$A$9:$A$49,A8)</f>
        <v>10</v>
      </c>
      <c r="C8" s="12">
        <f>SUMIF(BOM!$A$9:$A$49,A8,BOM!$H$9:$H$49)</f>
        <v>47.7</v>
      </c>
      <c r="D8" s="16">
        <f t="shared" si="1"/>
        <v>0.07646681629</v>
      </c>
    </row>
    <row r="9">
      <c r="A9" s="17" t="s">
        <v>30</v>
      </c>
      <c r="B9" s="17">
        <f>COUNTIF(BOM!$A$9:$A$49,A9)</f>
        <v>1</v>
      </c>
      <c r="C9" s="21">
        <f>SUMIF(BOM!$A$9:$A$49,A9,BOM!$H$9:$H$49)</f>
        <v>0</v>
      </c>
      <c r="D9" s="22">
        <f t="shared" si="1"/>
        <v>0</v>
      </c>
    </row>
    <row r="10">
      <c r="A10" s="7" t="s">
        <v>31</v>
      </c>
      <c r="B10" s="7">
        <f>COUNTIF(BOM!$A$9:$A$49,A10)</f>
        <v>13</v>
      </c>
      <c r="C10" s="12">
        <f>SUMIF(BOM!$A$9:$A$49,A10,BOM!$H$9:$H$49)</f>
        <v>54.5</v>
      </c>
      <c r="D10" s="16">
        <f t="shared" si="1"/>
        <v>0.08736774607</v>
      </c>
    </row>
    <row r="11">
      <c r="A11" s="17" t="s">
        <v>32</v>
      </c>
      <c r="B11" s="17">
        <f>COUNTIF(BOM!$A$9:$A$49,A11)</f>
        <v>1</v>
      </c>
      <c r="C11" s="21">
        <f>SUMIF(BOM!$A$9:$A$49,A11,BOM!$H$9:$H$49)</f>
        <v>40</v>
      </c>
      <c r="D11" s="22">
        <f t="shared" si="1"/>
        <v>0.06412311638</v>
      </c>
    </row>
    <row r="12">
      <c r="A12" s="7" t="s">
        <v>36</v>
      </c>
      <c r="B12" s="7">
        <f>COUNTIF(BOM!$A$9:$A$49,A12)</f>
        <v>1</v>
      </c>
      <c r="C12" s="12">
        <f>SUMIF(BOM!$A$9:$A$49,A12,BOM!$H$9:$H$49)</f>
        <v>53.3</v>
      </c>
      <c r="D12" s="16">
        <f t="shared" si="1"/>
        <v>0.08544405258</v>
      </c>
    </row>
    <row r="13">
      <c r="A13" s="37" t="s">
        <v>37</v>
      </c>
      <c r="B13" s="37">
        <f t="shared" ref="B13:C13" si="2">SUM(B4:B12)</f>
        <v>41</v>
      </c>
      <c r="C13" s="39">
        <f t="shared" si="2"/>
        <v>623.8</v>
      </c>
      <c r="D13" s="40">
        <f>C13/C13</f>
        <v>1</v>
      </c>
    </row>
    <row r="15">
      <c r="A15" s="42" t="s">
        <v>42</v>
      </c>
      <c r="C15" s="43">
        <f>BOM!B5</f>
        <v>820</v>
      </c>
    </row>
    <row r="16">
      <c r="A16" s="42" t="s">
        <v>46</v>
      </c>
      <c r="C16" s="43">
        <f>C15-C13</f>
        <v>196.2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